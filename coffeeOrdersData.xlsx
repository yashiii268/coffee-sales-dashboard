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8F53927-ED22-43B3-8349-BEF8B4670CE3}"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 chart" sheetId="19" r:id="rId3"/>
    <sheet name="top co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15" i="17"/>
  <c r="M54" i="17"/>
  <c r="M83" i="17"/>
  <c r="M105"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<sst xmlns="http://schemas.openxmlformats.org/spreadsheetml/2006/main" count="11138" uniqueCount="6222">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</sst>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0.0\ &quot;kg&quot;"/>
    <numFmt numFmtId="168" formatCode="_-[$$-409]* #,##0.00_ ;_-[$$-409]* \-#,##0.00\ ;_-[$$-409]* &quot;-&quot;??_ ;_-@_ "/>
    <numFmt numFmtId="169" formatCode="_-[$$-409]* #,##0.0_ ;_-[$$-409]* \-#,##0.0\ ;_-[$$-409]* &quot;-&quot;?_ ;_-@_ "/>
    <numFmt numFmtId="171" formatCode="[$$-45C]#,##0;\-[$$-45C]#,##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6" fontId="0" fillId="0" borderId="0" xfId="0" applyNumberFormat="1"/>
    <xf numFmtId="168" fontId="0" fillId="0" borderId="0" xfId="0" applyNumberFormat="1"/>
    <xf numFmtId="0" fontId="0" fillId="0" borderId="0" xfId="0" pivotButton="1"/>
    <xf numFmtId="169" fontId="0" fillId="0" borderId="0" xfId="0" applyNumberFormat="1"/>
    <xf numFmtId="171" fontId="0" fillId="0" borderId="0" xfId="0" applyNumberFormat="1"/>
  </cellXfs>
  <cellStyles count="1">
    <cellStyle name="Normal" xfId="0" builtinId="0"/>
  </cellStyles>
  <dxfs count="88">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numFmt numFmtId="170" formatCode="#,##0_ ;\-#,##0\ "/>
    </dxf>
    <dxf>
      <numFmt numFmtId="171" formatCode="[$$-45C]#,##0;\-[$$-45C]#,##0"/>
    </dxf>
    <dxf>
      <font>
        <color theme="2" tint="-0.89996032593768116"/>
      </font>
    </dxf>
    <dxf>
      <font>
        <sz val="11"/>
        <name val="Calibri"/>
        <family val="2"/>
        <scheme val="minor"/>
      </font>
      <fill>
        <patternFill patternType="solid">
          <fgColor auto="1"/>
          <bgColor theme="4" tint="0.79998168889431442"/>
        </patternFill>
      </fill>
    </dxf>
    <dxf>
      <numFmt numFmtId="0" formatCode="General"/>
    </dxf>
    <dxf>
      <font>
        <b/>
        <i val="0"/>
        <sz val="11"/>
        <color theme="1"/>
        <name val="Calibri"/>
        <family val="2"/>
        <scheme val="minor"/>
      </font>
    </dxf>
    <dxf>
      <fill>
        <gradientFill degree="90">
          <stop position="0">
            <color theme="2"/>
          </stop>
          <stop position="1">
            <color theme="4" tint="0.40000610370189521"/>
          </stop>
        </gradientFill>
      </fill>
      <border diagonalUp="0" diagonalDown="0">
        <left/>
        <right/>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lue timeline style" pivot="0" table="0" count="9" xr9:uid="{E2432F71-98AC-4D43-BB45-DB19E5A2E1C0}">
      <tableStyleElement type="wholeTable" dxfId="76"/>
      <tableStyleElement type="headerRow" dxfId="75"/>
    </tableStyle>
    <tableStyle name="Slicer Style 1" pivot="0" table="0" count="10" xr9:uid="{8AD713F5-F0F3-4373-AE7E-79B67BDC7ED3}">
      <tableStyleElement type="wholeTable" dxfId="73"/>
      <tableStyleElement type="headerRow" dxfId="72"/>
    </tableStyle>
  </tableStyles>
  <colors>
    <mruColors>
      <color rgb="FF00CCFF"/>
      <color rgb="FFE6DDEF"/>
      <color rgb="FF3333CC"/>
      <color rgb="FF6666FF"/>
      <color rgb="FF3399FF"/>
      <color rgb="FFFF3300"/>
      <color rgb="FF800080"/>
      <color rgb="FF33CC33"/>
      <color rgb="FF66FF33"/>
      <color rgb="FFFF7C80"/>
    </mruColors>
  </colors>
  <extLst>
    <ext xmlns:x14="http://schemas.microsoft.com/office/spreadsheetml/2009/9/main" uri="{46F421CA-312F-682f-3DD2-61675219B42D}">
      <x14:dxfs count="8">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gradientFill degree="90">
              <stop position="0">
                <color theme="6" tint="0.80001220740379042"/>
              </stop>
              <stop position="1">
                <color theme="8" tint="0.40000610370189521"/>
              </stop>
            </gradientFill>
          </fill>
        </dxf>
        <dxf>
          <fill>
            <gradientFill degree="90">
              <stop position="0">
                <color theme="6" tint="0.80001220740379042"/>
              </stop>
              <stop position="1">
                <color theme="8" tint="0.40000610370189521"/>
              </stop>
            </gradient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bgColor theme="3" tint="0.39994506668294322"/>
            </patternFill>
          </fill>
        </dxf>
        <dxf>
          <fill>
            <patternFill patternType="solid">
              <fgColor theme="0" tint="-0.14996795556505021"/>
              <bgColor theme="4" tint="0.59996337778862885"/>
            </patternFill>
          </fill>
        </dxf>
        <dxf>
          <fill>
            <patternFill patternType="solid">
              <fgColor theme="0"/>
              <bgColor theme="4" tint="-0.24994659260841701"/>
            </patternFill>
          </fill>
          <border>
            <left style="thin">
              <color auto="1"/>
            </left>
            <right style="thin">
              <color auto="1"/>
            </right>
            <top style="thin">
              <color auto="1"/>
            </top>
            <bottom style="thin">
              <color auto="1"/>
            </bottom>
          </border>
        </dxf>
        <dxf>
          <font>
            <sz val="9"/>
            <color theme="4" tint="-0.499984740745262"/>
            <name val="Calibri"/>
            <family val="2"/>
            <scheme val="minor"/>
          </font>
        </dxf>
        <dxf>
          <font>
            <sz val="9"/>
            <color theme="4" tint="-0.499984740745262"/>
            <name val="Calibri"/>
            <family val="2"/>
            <scheme val="minor"/>
          </font>
        </dxf>
        <dxf>
          <font>
            <sz val="9"/>
            <color theme="4" tint="-0.499984740745262"/>
            <name val="Calibri"/>
            <family val="2"/>
            <scheme val="minor"/>
          </font>
        </dxf>
        <dxf>
          <font>
            <sz val="10"/>
            <color theme="3" tint="-0.24994659260841701"/>
            <name val="Calibri"/>
            <family val="2"/>
            <scheme val="minor"/>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5"/>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3CC33"/>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7C8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33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3CC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3CC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7C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3961698321058"/>
          <c:y val="0.14407081887149323"/>
          <c:w val="0.67542660502167107"/>
          <c:h val="0.67648501739091071"/>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#,##0.0_ ;_-[$$-409]* \-#,##0.0\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CFB-404E-B245-665C35B022FA}"/>
            </c:ext>
          </c:extLst>
        </c:ser>
        <c:ser>
          <c:idx val="1"/>
          <c:order val="1"/>
          <c:tx>
            <c:strRef>
              <c:f>'total sales'!$D$3:$D$4</c:f>
              <c:strCache>
                <c:ptCount val="1"/>
                <c:pt idx="0">
                  <c:v>Excelsa</c:v>
                </c:pt>
              </c:strCache>
            </c:strRef>
          </c:tx>
          <c:spPr>
            <a:ln w="28575" cap="rnd">
              <a:solidFill>
                <a:srgbClr val="33CC3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#,##0.0_ ;_-[$$-409]* \-#,##0.0\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CFB-404E-B245-665C35B022FA}"/>
            </c:ext>
          </c:extLst>
        </c:ser>
        <c:ser>
          <c:idx val="2"/>
          <c:order val="2"/>
          <c:tx>
            <c:strRef>
              <c:f>'total sales'!$E$3:$E$4</c:f>
              <c:strCache>
                <c:ptCount val="1"/>
                <c:pt idx="0">
                  <c:v>liberica</c:v>
                </c:pt>
              </c:strCache>
            </c:strRef>
          </c:tx>
          <c:spPr>
            <a:ln w="28575" cap="rnd">
              <a:solidFill>
                <a:srgbClr val="FF7C8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#,##0.0_ ;_-[$$-409]* \-#,##0.0\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CFB-404E-B245-665C35B022FA}"/>
            </c:ext>
          </c:extLst>
        </c:ser>
        <c:ser>
          <c:idx val="3"/>
          <c:order val="3"/>
          <c:tx>
            <c:strRef>
              <c:f>'total sales'!$F$3:$F$4</c:f>
              <c:strCache>
                <c:ptCount val="1"/>
                <c:pt idx="0">
                  <c:v>Robusta</c:v>
                </c:pt>
              </c:strCache>
            </c:strRef>
          </c:tx>
          <c:spPr>
            <a:ln w="28575" cap="rnd">
              <a:solidFill>
                <a:srgbClr val="FF33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#,##0.0_ ;_-[$$-409]* \-#,##0.0\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CFB-404E-B245-665C35B022FA}"/>
            </c:ext>
          </c:extLst>
        </c:ser>
        <c:dLbls>
          <c:showLegendKey val="0"/>
          <c:showVal val="0"/>
          <c:showCatName val="0"/>
          <c:showSerName val="0"/>
          <c:showPercent val="0"/>
          <c:showBubbleSize val="0"/>
        </c:dLbls>
        <c:smooth val="0"/>
        <c:axId val="207103968"/>
        <c:axId val="207104448"/>
      </c:lineChart>
      <c:catAx>
        <c:axId val="2071039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2">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207104448"/>
        <c:crosses val="autoZero"/>
        <c:auto val="1"/>
        <c:lblAlgn val="ctr"/>
        <c:lblOffset val="100"/>
        <c:noMultiLvlLbl val="0"/>
      </c:catAx>
      <c:valAx>
        <c:axId val="20710444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75000"/>
                      </a:schemeClr>
                    </a:solidFill>
                    <a:latin typeface="+mn-lt"/>
                    <a:ea typeface="+mn-ea"/>
                    <a:cs typeface="+mn-cs"/>
                  </a:defRPr>
                </a:pPr>
                <a:r>
                  <a:rPr lang="en-IN"/>
                  <a:t>USD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75000"/>
                    </a:schemeClr>
                  </a:solidFill>
                  <a:latin typeface="+mn-lt"/>
                  <a:ea typeface="+mn-ea"/>
                  <a:cs typeface="+mn-cs"/>
                </a:defRPr>
              </a:pPr>
              <a:endParaRPr lang="en-US"/>
            </a:p>
          </c:txPr>
        </c:title>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crossAx val="207103968"/>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rgbClr val="00CCFF"/>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CCFF"/>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CCFF"/>
          </a:solidFill>
          <a:ln>
            <a:noFill/>
          </a:ln>
          <a:effectLst/>
        </c:spPr>
      </c:pivotFmt>
      <c:pivotFmt>
        <c:idx val="8"/>
        <c:spPr>
          <a:solidFill>
            <a:schemeClr val="accent1">
              <a:lumMod val="50000"/>
            </a:schemeClr>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Pt>
            <c:idx val="1"/>
            <c:invertIfNegative val="0"/>
            <c:bubble3D val="0"/>
            <c:spPr>
              <a:solidFill>
                <a:srgbClr val="00CCFF"/>
              </a:solidFill>
              <a:ln>
                <a:noFill/>
              </a:ln>
              <a:effectLst/>
            </c:spPr>
            <c:extLst>
              <c:ext xmlns:c16="http://schemas.microsoft.com/office/drawing/2014/chart" uri="{C3380CC4-5D6E-409C-BE32-E72D297353CC}">
                <c16:uniqueId val="{00000001-20FC-4225-984C-970BDDB5EC17}"/>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3-20FC-4225-984C-970BDDB5EC17}"/>
              </c:ext>
            </c:extLst>
          </c:dPt>
          <c:cat>
            <c:strRef>
              <c:f>'country bar chart'!$A$4:$A$6</c:f>
              <c:strCache>
                <c:ptCount val="3"/>
                <c:pt idx="0">
                  <c:v>United Kingdom</c:v>
                </c:pt>
                <c:pt idx="1">
                  <c:v>Ireland</c:v>
                </c:pt>
                <c:pt idx="2">
                  <c:v>United States</c:v>
                </c:pt>
              </c:strCache>
            </c:strRef>
          </c:cat>
          <c:val>
            <c:numRef>
              <c:f>'country bar chart'!$B$4:$B$6</c:f>
              <c:numCache>
                <c:formatCode>[$$-45C]#,##0;\-[$$-45C]#,##0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20FC-4225-984C-970BDDB5EC17}"/>
            </c:ext>
          </c:extLst>
        </c:ser>
        <c:dLbls>
          <c:showLegendKey val="0"/>
          <c:showVal val="0"/>
          <c:showCatName val="0"/>
          <c:showSerName val="0"/>
          <c:showPercent val="0"/>
          <c:showBubbleSize val="0"/>
        </c:dLbls>
        <c:gapWidth val="182"/>
        <c:axId val="252435792"/>
        <c:axId val="252435312"/>
      </c:barChart>
      <c:catAx>
        <c:axId val="25243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5312"/>
        <c:crosses val="autoZero"/>
        <c:auto val="1"/>
        <c:lblAlgn val="ctr"/>
        <c:lblOffset val="100"/>
        <c:noMultiLvlLbl val="0"/>
      </c:catAx>
      <c:valAx>
        <c:axId val="252435312"/>
        <c:scaling>
          <c:orientation val="minMax"/>
        </c:scaling>
        <c:delete val="0"/>
        <c:axPos val="b"/>
        <c:majorGridlines>
          <c:spPr>
            <a:ln w="9525" cap="flat" cmpd="sng" algn="ctr">
              <a:solidFill>
                <a:schemeClr val="bg1"/>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costomers!total sales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rgbClr val="00CCFF"/>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CCFF"/>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costomers'!$B$3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63CC-4E49-9328-63FE19BC622F}"/>
              </c:ext>
            </c:extLst>
          </c:dPt>
          <c:dPt>
            <c:idx val="2"/>
            <c:invertIfNegative val="0"/>
            <c:bubble3D val="0"/>
            <c:extLst>
              <c:ext xmlns:c16="http://schemas.microsoft.com/office/drawing/2014/chart" uri="{C3380CC4-5D6E-409C-BE32-E72D297353CC}">
                <c16:uniqueId val="{00000001-63CC-4E49-9328-63FE19BC622F}"/>
              </c:ext>
            </c:extLst>
          </c:dPt>
          <c:cat>
            <c:strRef>
              <c:f>'top costomers'!$A$4:$A$18</c:f>
              <c:strCache>
                <c:ptCount val="15"/>
                <c:pt idx="0">
                  <c:v>Ailey Brash</c:v>
                </c:pt>
                <c:pt idx="1">
                  <c:v>Alexa Sizey</c:v>
                </c:pt>
                <c:pt idx="2">
                  <c:v>Allis Wilmore</c:v>
                </c:pt>
                <c:pt idx="3">
                  <c:v>Brenn Dundredge</c:v>
                </c:pt>
                <c:pt idx="4">
                  <c:v>Brice Romera</c:v>
                </c:pt>
                <c:pt idx="5">
                  <c:v>Daniel Heinonen</c:v>
                </c:pt>
                <c:pt idx="6">
                  <c:v>Derick Snow</c:v>
                </c:pt>
                <c:pt idx="7">
                  <c:v>Don Flintiff</c:v>
                </c:pt>
                <c:pt idx="8">
                  <c:v>Elysee Sketch</c:v>
                </c:pt>
                <c:pt idx="9">
                  <c:v>Lacee Tanti</c:v>
                </c:pt>
                <c:pt idx="10">
                  <c:v>Nanny Lush</c:v>
                </c:pt>
                <c:pt idx="11">
                  <c:v>Nealson Cuttler</c:v>
                </c:pt>
                <c:pt idx="12">
                  <c:v>Shelli Keynd</c:v>
                </c:pt>
                <c:pt idx="13">
                  <c:v>Teddi Crowthe</c:v>
                </c:pt>
                <c:pt idx="14">
                  <c:v>Terri Farra</c:v>
                </c:pt>
              </c:strCache>
            </c:strRef>
          </c:cat>
          <c:val>
            <c:numRef>
              <c:f>'top costomers'!$B$4:$B$18</c:f>
              <c:numCache>
                <c:formatCode>[$$-45C]#,##0;\-[$$-45C]#,##0</c:formatCode>
                <c:ptCount val="15"/>
                <c:pt idx="0">
                  <c:v>206.59999999999997</c:v>
                </c:pt>
                <c:pt idx="1">
                  <c:v>218.73</c:v>
                </c:pt>
                <c:pt idx="2">
                  <c:v>317.06999999999994</c:v>
                </c:pt>
                <c:pt idx="3">
                  <c:v>307.04499999999996</c:v>
                </c:pt>
                <c:pt idx="4">
                  <c:v>246.20999999999998</c:v>
                </c:pt>
                <c:pt idx="5">
                  <c:v>204.92999999999995</c:v>
                </c:pt>
                <c:pt idx="6">
                  <c:v>251.12499999999997</c:v>
                </c:pt>
                <c:pt idx="7">
                  <c:v>278.01</c:v>
                </c:pt>
                <c:pt idx="8">
                  <c:v>204.92999999999995</c:v>
                </c:pt>
                <c:pt idx="9">
                  <c:v>204.92999999999995</c:v>
                </c:pt>
                <c:pt idx="10">
                  <c:v>204.92999999999995</c:v>
                </c:pt>
                <c:pt idx="11">
                  <c:v>281.67499999999995</c:v>
                </c:pt>
                <c:pt idx="12">
                  <c:v>204.92999999999995</c:v>
                </c:pt>
                <c:pt idx="13">
                  <c:v>204.92999999999995</c:v>
                </c:pt>
                <c:pt idx="14">
                  <c:v>289.11</c:v>
                </c:pt>
              </c:numCache>
            </c:numRef>
          </c:val>
          <c:extLst>
            <c:ext xmlns:c16="http://schemas.microsoft.com/office/drawing/2014/chart" uri="{C3380CC4-5D6E-409C-BE32-E72D297353CC}">
              <c16:uniqueId val="{00000002-63CC-4E49-9328-63FE19BC622F}"/>
            </c:ext>
          </c:extLst>
        </c:ser>
        <c:dLbls>
          <c:showLegendKey val="0"/>
          <c:showVal val="0"/>
          <c:showCatName val="0"/>
          <c:showSerName val="0"/>
          <c:showPercent val="0"/>
          <c:showBubbleSize val="0"/>
        </c:dLbls>
        <c:gapWidth val="182"/>
        <c:axId val="252435792"/>
        <c:axId val="252435312"/>
      </c:barChart>
      <c:catAx>
        <c:axId val="25243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5312"/>
        <c:crosses val="autoZero"/>
        <c:auto val="1"/>
        <c:lblAlgn val="ctr"/>
        <c:lblOffset val="100"/>
        <c:noMultiLvlLbl val="0"/>
      </c:catAx>
      <c:valAx>
        <c:axId val="252435312"/>
        <c:scaling>
          <c:orientation val="minMax"/>
        </c:scaling>
        <c:delete val="0"/>
        <c:axPos val="b"/>
        <c:majorGridlines>
          <c:spPr>
            <a:ln w="9525" cap="flat" cmpd="sng" algn="ctr">
              <a:solidFill>
                <a:schemeClr val="bg1"/>
              </a:solidFill>
              <a:round/>
            </a:ln>
            <a:effectLst/>
          </c:spPr>
        </c:majorGridlines>
        <c:numFmt formatCode="[$$-45C]#,##0;\-[$$-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184731" cy="264560"/>
    <xdr:sp macro="" textlink="">
      <xdr:nvSpPr>
        <xdr:cNvPr id="2" name="TextBox 1">
          <a:extLst>
            <a:ext uri="{FF2B5EF4-FFF2-40B4-BE49-F238E27FC236}">
              <a16:creationId xmlns:a16="http://schemas.microsoft.com/office/drawing/2014/main" id="{B9CF0A0F-6EBF-FC90-E777-67F568616BEC}"/>
            </a:ext>
          </a:extLst>
        </xdr:cNvPr>
        <xdr:cNvSpPr txBox="1"/>
      </xdr:nvSpPr>
      <xdr:spPr>
        <a:xfrm>
          <a:off x="16002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8963</xdr:colOff>
      <xdr:row>1</xdr:row>
      <xdr:rowOff>17928</xdr:rowOff>
    </xdr:from>
    <xdr:to>
      <xdr:col>23</xdr:col>
      <xdr:colOff>0</xdr:colOff>
      <xdr:row>4</xdr:row>
      <xdr:rowOff>179293</xdr:rowOff>
    </xdr:to>
    <xdr:sp macro="" textlink="">
      <xdr:nvSpPr>
        <xdr:cNvPr id="5" name="Rectangle 4">
          <a:extLst>
            <a:ext uri="{FF2B5EF4-FFF2-40B4-BE49-F238E27FC236}">
              <a16:creationId xmlns:a16="http://schemas.microsoft.com/office/drawing/2014/main" id="{BB3CA1E8-9548-2FBD-ED16-FCCB4311CE3E}"/>
            </a:ext>
          </a:extLst>
        </xdr:cNvPr>
        <xdr:cNvSpPr/>
      </xdr:nvSpPr>
      <xdr:spPr>
        <a:xfrm>
          <a:off x="170328" y="143434"/>
          <a:ext cx="13402237" cy="69924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twoCellAnchor>
    <xdr:from>
      <xdr:col>1</xdr:col>
      <xdr:colOff>0</xdr:colOff>
      <xdr:row>14</xdr:row>
      <xdr:rowOff>0</xdr:rowOff>
    </xdr:from>
    <xdr:to>
      <xdr:col>14</xdr:col>
      <xdr:colOff>0</xdr:colOff>
      <xdr:row>39</xdr:row>
      <xdr:rowOff>0</xdr:rowOff>
    </xdr:to>
    <xdr:graphicFrame macro="">
      <xdr:nvGraphicFramePr>
        <xdr:cNvPr id="6" name="Chart 5">
          <a:extLst>
            <a:ext uri="{FF2B5EF4-FFF2-40B4-BE49-F238E27FC236}">
              <a16:creationId xmlns:a16="http://schemas.microsoft.com/office/drawing/2014/main" id="{FF58EE48-C43C-4A27-938F-5EB302402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8964</xdr:colOff>
      <xdr:row>4</xdr:row>
      <xdr:rowOff>179293</xdr:rowOff>
    </xdr:from>
    <xdr:to>
      <xdr:col>16</xdr:col>
      <xdr:colOff>595944</xdr:colOff>
      <xdr:row>13</xdr:row>
      <xdr:rowOff>179293</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16D2E2F2-30D4-44D9-B3D8-7F7E649E716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0329" y="842681"/>
              <a:ext cx="9730980" cy="16136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0</xdr:colOff>
      <xdr:row>9</xdr:row>
      <xdr:rowOff>0</xdr:rowOff>
    </xdr:from>
    <xdr:to>
      <xdr:col>20</xdr:col>
      <xdr:colOff>0</xdr:colOff>
      <xdr:row>14</xdr:row>
      <xdr:rowOff>0</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2FE3E4D7-8072-4CD6-86E9-6D028182F61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914965" y="1559859"/>
              <a:ext cx="1828800" cy="896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xdr:row>
      <xdr:rowOff>12234</xdr:rowOff>
    </xdr:from>
    <xdr:to>
      <xdr:col>23</xdr:col>
      <xdr:colOff>0</xdr:colOff>
      <xdr:row>9</xdr:row>
      <xdr:rowOff>0</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462502C3-ED7F-4C8D-889E-F0034861D70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914965" y="854916"/>
              <a:ext cx="3657600" cy="70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8</xdr:row>
      <xdr:rowOff>170328</xdr:rowOff>
    </xdr:from>
    <xdr:to>
      <xdr:col>23</xdr:col>
      <xdr:colOff>0</xdr:colOff>
      <xdr:row>13</xdr:row>
      <xdr:rowOff>179293</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9A7E732D-79C7-481C-A9E5-E982926CACC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743765" y="1550893"/>
              <a:ext cx="1828800" cy="905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14</xdr:row>
      <xdr:rowOff>8965</xdr:rowOff>
    </xdr:from>
    <xdr:to>
      <xdr:col>23</xdr:col>
      <xdr:colOff>0</xdr:colOff>
      <xdr:row>25</xdr:row>
      <xdr:rowOff>0</xdr:rowOff>
    </xdr:to>
    <xdr:graphicFrame macro="">
      <xdr:nvGraphicFramePr>
        <xdr:cNvPr id="11" name="Chart 10">
          <a:extLst>
            <a:ext uri="{FF2B5EF4-FFF2-40B4-BE49-F238E27FC236}">
              <a16:creationId xmlns:a16="http://schemas.microsoft.com/office/drawing/2014/main" id="{A1CA83B6-2AB4-40B7-968A-39969F8A8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24</xdr:row>
      <xdr:rowOff>147535</xdr:rowOff>
    </xdr:from>
    <xdr:to>
      <xdr:col>23</xdr:col>
      <xdr:colOff>0</xdr:colOff>
      <xdr:row>39</xdr:row>
      <xdr:rowOff>0</xdr:rowOff>
    </xdr:to>
    <xdr:graphicFrame macro="">
      <xdr:nvGraphicFramePr>
        <xdr:cNvPr id="12" name="Chart 11">
          <a:extLst>
            <a:ext uri="{FF2B5EF4-FFF2-40B4-BE49-F238E27FC236}">
              <a16:creationId xmlns:a16="http://schemas.microsoft.com/office/drawing/2014/main" id="{94691337-F7D4-4698-91C3-61D665808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singh" refreshedDate="46127.927552546294" createdVersion="8" refreshedVersion="8" minRefreshableVersion="3" recordCount="1000" xr:uid="{AD755A3D-FDB1-47A5-8432-6B4C50CEA63B}">
  <cacheSource type="worksheet">
    <worksheetSource name="orders"/>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55947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6DB32-890E-4B8A-9F51-8A831BE77B4B}" name="total 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8">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2"/>
          </reference>
        </references>
      </pivotArea>
    </chartFormat>
    <chartFormat chart="11" format="3" series="1">
      <pivotArea type="data" outline="0" fieldPosition="0">
        <references count="2">
          <reference field="4294967294" count="1" selected="0">
            <x v="0"/>
          </reference>
          <reference field="13" count="1" selected="0">
            <x v="3"/>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DED8F-AEAF-42C8-BB74-C255A47C7ECB}" name="total 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1"/>
  </dataFields>
  <formats count="2">
    <format dxfId="70">
      <pivotArea outline="0" collapsedLevelsAreSubtotals="1" fieldPosition="0"/>
    </format>
    <format dxfId="71">
      <pivotArea outline="0" fieldPosition="0">
        <references count="1">
          <reference field="4294967294" count="1">
            <x v="0"/>
          </reference>
        </references>
      </pivotArea>
    </format>
  </formats>
  <chartFormats count="6">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2"/>
          </reference>
        </references>
      </pivotArea>
    </chartFormat>
    <chartFormat chart="18" format="2">
      <pivotArea type="data" outline="0" fieldPosition="0">
        <references count="2">
          <reference field="4294967294" count="1" selected="0">
            <x v="0"/>
          </reference>
          <reference field="7"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7" count="1" selected="0">
            <x v="0"/>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739C4-697B-4255-85CB-5BB0AC02C92B}" name="total 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1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15">
    <i>
      <x v="17"/>
    </i>
    <i>
      <x v="20"/>
    </i>
    <i>
      <x v="28"/>
    </i>
    <i>
      <x v="125"/>
    </i>
    <i>
      <x v="126"/>
    </i>
    <i>
      <x v="218"/>
    </i>
    <i>
      <x v="237"/>
    </i>
    <i>
      <x v="255"/>
    </i>
    <i>
      <x v="289"/>
    </i>
    <i>
      <x v="518"/>
    </i>
    <i>
      <x v="639"/>
    </i>
    <i>
      <x v="646"/>
    </i>
    <i>
      <x v="785"/>
    </i>
    <i>
      <x v="826"/>
    </i>
    <i>
      <x v="831"/>
    </i>
  </rowItems>
  <colItems count="1">
    <i/>
  </colItems>
  <dataFields count="1">
    <dataField name="Sum of Sales" fld="12" baseField="7" baseItem="2" numFmtId="171"/>
  </dataFields>
  <formats count="2">
    <format dxfId="68">
      <pivotArea outline="0" collapsedLevelsAreSubtotals="1" fieldPosition="0"/>
    </format>
    <format dxfId="69">
      <pivotArea outline="0" fieldPosition="0">
        <references count="1">
          <reference field="4294967294" count="1">
            <x v="0"/>
          </reference>
        </references>
      </pivotArea>
    </format>
  </formats>
  <chartFormats count="5">
    <chartFormat chart="14" format="9"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AB067D9-1462-4D8A-9420-026631BEF821}" sourceName="Size">
  <pivotTables>
    <pivotTable tabId="18" name="total sales"/>
    <pivotTable tabId="19" name="total sales"/>
    <pivotTable tabId="20" name="total sales"/>
  </pivotTables>
  <data>
    <tabular pivotCacheId="125594734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9F0AB64-800C-499D-AC71-D38F929B94EC}" sourceName="Roast type name">
  <pivotTables>
    <pivotTable tabId="18" name="total sales"/>
    <pivotTable tabId="19" name="total sales"/>
    <pivotTable tabId="20" name="total sales"/>
  </pivotTables>
  <data>
    <tabular pivotCacheId="12559473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A4AFA30-6B20-43D7-8C95-94265018593C}" sourceName="Loyalty card">
  <pivotTables>
    <pivotTable tabId="18" name="total sales"/>
    <pivotTable tabId="19" name="total sales"/>
    <pivotTable tabId="20" name="total sales"/>
  </pivotTables>
  <data>
    <tabular pivotCacheId="12559473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A619B44-ADF7-4C9B-A879-95EF7B91995E}" cache="Slicer_Size" caption="Size" columnCount="2" rowHeight="234950"/>
  <slicer name="Roast type name" xr10:uid="{4A4233D5-FE5F-456B-AF63-5AF103BF2039}" cache="Slicer_Roast_type_name" caption="Roast type name" columnCount="3" rowHeight="234950"/>
  <slicer name="Loyalty card" xr10:uid="{434AC446-8CB1-40E1-8F5B-3B1BAFD516E9}"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87608-8326-423B-A6D3-F99E33599A68}" name="orders" displayName="orders" ref="A1:P1001" totalsRowShown="0" headerRowDxfId="77">
  <autoFilter ref="A1:P1001" xr:uid="{67087608-8326-423B-A6D3-F99E33599A68}"/>
  <tableColumns count="16">
    <tableColumn id="1" xr3:uid="{7BD19F41-54A4-4B08-956A-13916003FC9F}" name="Order ID" dataDxfId="87"/>
    <tableColumn id="2" xr3:uid="{6E97AEB9-7557-446F-A92D-0509075611C0}" name="Order Date" dataDxfId="86"/>
    <tableColumn id="3" xr3:uid="{2DFF04C3-8D94-4F90-85D1-9A36C69B6CA4}" name="Customer ID" dataDxfId="85"/>
    <tableColumn id="4" xr3:uid="{6AF51EE5-067A-40E0-9AAD-6B902F7ABCB9}" name="Product ID"/>
    <tableColumn id="5" xr3:uid="{B3C4F853-F1CA-4CD1-A2DE-6F6843CF5593}" name="Quantity" dataDxfId="84"/>
    <tableColumn id="6" xr3:uid="{653323F6-DC7A-4595-86B5-20D958CD982C}" name="Customer Name" dataDxfId="83">
      <calculatedColumnFormula>_xlfn.XLOOKUP(C2,customers!$A$1:$A$1001,customers!$B$1:$B$1001,,0)</calculatedColumnFormula>
    </tableColumn>
    <tableColumn id="7" xr3:uid="{17485548-8760-4820-BE9F-CA7E4D67230B}" name="Email" dataDxfId="82">
      <calculatedColumnFormula>IF(_xlfn.XLOOKUP(C2,customers!$A$1:$A$1001,customers!$C$1:$C$1001,,0)=0,"",_xlfn.XLOOKUP(C2,customers!$A$1:$A$1001,customers!$C$1:$C$1001,,0))</calculatedColumnFormula>
    </tableColumn>
    <tableColumn id="8" xr3:uid="{F7ABFB20-E804-4557-9181-8FF60809F21D}" name="Country" dataDxfId="81">
      <calculatedColumnFormula>_xlfn.XLOOKUP(C2,customers!$A$1:$A$1001,customers!$G$1:$G$1001,,0)</calculatedColumnFormula>
    </tableColumn>
    <tableColumn id="9" xr3:uid="{38C5A601-8781-47AC-8EA5-486FA2E10510}" name="Coffee Type">
      <calculatedColumnFormula>INDEX(products!$A$1:$G$49,MATCH(orders!$D2,products!$A$1:$A$49,0),MATCH(orders!I$1,products!$A$1:$G$1,0))</calculatedColumnFormula>
    </tableColumn>
    <tableColumn id="10" xr3:uid="{9E32666C-6A4F-4711-825A-64ACE293B789}" name="Roast Type">
      <calculatedColumnFormula>INDEX(products!$A$1:$G$49,MATCH(orders!$D2,products!$A$1:$A$49,0),MATCH(orders!J$1,products!$A$1:$G$1,0))</calculatedColumnFormula>
    </tableColumn>
    <tableColumn id="11" xr3:uid="{B0B70D2D-4430-4F00-A15F-EE72DAE4284F}" name="Size" dataDxfId="80">
      <calculatedColumnFormula>INDEX(products!$A$1:$G$49,MATCH(orders!$D2,products!$A$1:$A$49,0),MATCH(orders!K$1,products!$A$1:$G$1,0))</calculatedColumnFormula>
    </tableColumn>
    <tableColumn id="12" xr3:uid="{96226A86-FF9F-4A4E-8A68-AA80FFDB9E74}" name="Unit Price" dataDxfId="79">
      <calculatedColumnFormula>INDEX(products!$A$1:$G$49,MATCH(orders!$D2,products!$A$1:$A$49,0),MATCH(orders!L$1,products!$A$1:$G$1,0))</calculatedColumnFormula>
    </tableColumn>
    <tableColumn id="13" xr3:uid="{7B71C986-B4BF-4A58-8A57-3CBD7E124E9D}" name="Sales" dataDxfId="78">
      <calculatedColumnFormula>L2*E2</calculatedColumnFormula>
    </tableColumn>
    <tableColumn id="14" xr3:uid="{4C5E8419-284C-4C4C-B119-C90163EFAC48}" name="Coffe type name">
      <calculatedColumnFormula>IF($I2="Rob","Robusta",IF($I2="Exc","Excelsa",IF($I2="Ara","Arabica",IF($I2="Lib","liberica",""))))</calculatedColumnFormula>
    </tableColumn>
    <tableColumn id="15" xr3:uid="{71CA7E6F-CACA-4D1D-9E13-14CDE3A273B0}" name="Roast type name">
      <calculatedColumnFormula>IF(J2="M","Medium",IF(J2="L","Light",IF(J2="D","Dark","")))</calculatedColumnFormula>
    </tableColumn>
    <tableColumn id="16" xr3:uid="{01ABC0AD-B100-4D4D-B095-BE385A82264E}" name="Loyalty card" dataDxfId="74">
      <calculatedColumnFormula>_xlfn.XLOOKUP(orders[[#This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FDE7611-E7EB-4255-A249-D6B0E1DA1FE4}" sourceName="Order Date">
  <pivotTables>
    <pivotTable tabId="18" name="total sales"/>
    <pivotTable tabId="19" name="total sales"/>
    <pivotTable tabId="20" name="total sales"/>
  </pivotTables>
  <state minimalRefreshVersion="6" lastRefreshVersion="6" pivotCacheId="125594734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01A6F43-7C37-456D-9DF1-098CF5C05DD5}" cache="NativeTimeline_Order_Date" caption="Order Date" level="2" selectionLevel="2" scrollPosition="2019-01-01T00:00:00" style="blu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F38E-1BCE-4D04-B316-28C777655469}">
  <dimension ref="A1"/>
  <sheetViews>
    <sheetView showGridLines="0" tabSelected="1" zoomScale="85" workbookViewId="0">
      <selection activeCell="Z12" sqref="Z12"/>
    </sheetView>
  </sheetViews>
  <sheetFormatPr defaultRowHeight="14.4" x14ac:dyDescent="0.3"/>
  <cols>
    <col min="1" max="1" width="2.33203125" customWidth="1"/>
  </cols>
  <sheetData>
    <row r="1" ht="10.0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4F1A-488C-46DB-96C2-E140FF2CD1C7}">
  <dimension ref="A3:F48"/>
  <sheetViews>
    <sheetView zoomScale="82" workbookViewId="0">
      <selection activeCell="AB16" sqref="AB16"/>
    </sheetView>
  </sheetViews>
  <sheetFormatPr defaultRowHeight="14.4" x14ac:dyDescent="0.3"/>
  <cols>
    <col min="1" max="1" width="12.5546875" bestFit="1" customWidth="1"/>
    <col min="2" max="2" width="21.33203125" bestFit="1" customWidth="1"/>
    <col min="3" max="3" width="17.77734375" bestFit="1" customWidth="1"/>
    <col min="4" max="5" width="7.6640625" bestFit="1" customWidth="1"/>
    <col min="6" max="6" width="7.88671875" bestFit="1" customWidth="1"/>
    <col min="7" max="8" width="7" bestFit="1" customWidth="1"/>
    <col min="9" max="9" width="5.44140625" bestFit="1" customWidth="1"/>
    <col min="10" max="10" width="7" bestFit="1" customWidth="1"/>
    <col min="11" max="12" width="7.88671875" bestFit="1" customWidth="1"/>
    <col min="13" max="13" width="6.33203125" bestFit="1" customWidth="1"/>
    <col min="14" max="14" width="7.88671875" bestFit="1" customWidth="1"/>
    <col min="15" max="16" width="7.109375" bestFit="1" customWidth="1"/>
    <col min="17" max="17" width="5.5546875" bestFit="1" customWidth="1"/>
    <col min="18" max="18" width="7.109375" bestFit="1" customWidth="1"/>
    <col min="19" max="20" width="6.77734375" bestFit="1" customWidth="1"/>
    <col min="21" max="21" width="5.21875" bestFit="1" customWidth="1"/>
    <col min="22" max="22" width="6.77734375" bestFit="1" customWidth="1"/>
    <col min="23" max="24" width="7.6640625" bestFit="1" customWidth="1"/>
    <col min="25" max="25" width="6.109375" bestFit="1" customWidth="1"/>
    <col min="26" max="26" width="7.6640625" bestFit="1" customWidth="1"/>
    <col min="27" max="28" width="7" bestFit="1" customWidth="1"/>
    <col min="29" max="29" width="5.44140625" bestFit="1" customWidth="1"/>
    <col min="30" max="30" width="7" bestFit="1" customWidth="1"/>
    <col min="31" max="32" width="6.6640625" bestFit="1" customWidth="1"/>
    <col min="33" max="33" width="5.109375" bestFit="1" customWidth="1"/>
    <col min="34" max="34" width="6.6640625" bestFit="1" customWidth="1"/>
    <col min="35" max="36" width="7.5546875" bestFit="1" customWidth="1"/>
    <col min="37" max="37" width="6" bestFit="1" customWidth="1"/>
    <col min="38" max="38" width="7.5546875" bestFit="1" customWidth="1"/>
    <col min="39" max="40" width="7.21875" bestFit="1" customWidth="1"/>
    <col min="41" max="41" width="5.6640625" bestFit="1" customWidth="1"/>
    <col min="42" max="42" width="7.21875" bestFit="1" customWidth="1"/>
    <col min="43" max="44" width="6.88671875" bestFit="1" customWidth="1"/>
    <col min="45" max="45" width="5.33203125" bestFit="1" customWidth="1"/>
    <col min="46" max="46" width="6.88671875" bestFit="1" customWidth="1"/>
    <col min="47" max="48" width="7.77734375" bestFit="1" customWidth="1"/>
    <col min="49" max="49" width="6.21875" bestFit="1" customWidth="1"/>
    <col min="50" max="50" width="7.777343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ECBD-CDA3-49F3-94B5-1224B3D4FD58}">
  <dimension ref="A3:B6"/>
  <sheetViews>
    <sheetView zoomScale="82" workbookViewId="0">
      <selection activeCell="C17" sqref="C17"/>
    </sheetView>
  </sheetViews>
  <sheetFormatPr defaultRowHeight="14.4" x14ac:dyDescent="0.3"/>
  <cols>
    <col min="1" max="1" width="14.5546875" bestFit="1" customWidth="1"/>
    <col min="2" max="3" width="11.6640625" bestFit="1" customWidth="1"/>
    <col min="4" max="5" width="7.6640625" bestFit="1" customWidth="1"/>
    <col min="6" max="6" width="7.88671875" bestFit="1" customWidth="1"/>
    <col min="7" max="8" width="7" bestFit="1" customWidth="1"/>
    <col min="9" max="9" width="5.44140625" bestFit="1" customWidth="1"/>
    <col min="10" max="10" width="7" bestFit="1" customWidth="1"/>
    <col min="11" max="12" width="7.88671875" bestFit="1" customWidth="1"/>
    <col min="13" max="13" width="6.33203125" bestFit="1" customWidth="1"/>
    <col min="14" max="14" width="7.88671875" bestFit="1" customWidth="1"/>
    <col min="15" max="16" width="7.109375" bestFit="1" customWidth="1"/>
    <col min="17" max="17" width="5.5546875" bestFit="1" customWidth="1"/>
    <col min="18" max="18" width="7.109375" bestFit="1" customWidth="1"/>
    <col min="19" max="20" width="6.77734375" bestFit="1" customWidth="1"/>
    <col min="21" max="21" width="5.21875" bestFit="1" customWidth="1"/>
    <col min="22" max="22" width="6.77734375" bestFit="1" customWidth="1"/>
    <col min="23" max="24" width="7.6640625" bestFit="1" customWidth="1"/>
    <col min="25" max="25" width="6.109375" bestFit="1" customWidth="1"/>
    <col min="26" max="26" width="7.6640625" bestFit="1" customWidth="1"/>
    <col min="27" max="28" width="7" bestFit="1" customWidth="1"/>
    <col min="29" max="29" width="5.44140625" bestFit="1" customWidth="1"/>
    <col min="30" max="30" width="7" bestFit="1" customWidth="1"/>
    <col min="31" max="32" width="6.6640625" bestFit="1" customWidth="1"/>
    <col min="33" max="33" width="5.109375" bestFit="1" customWidth="1"/>
    <col min="34" max="34" width="6.6640625" bestFit="1" customWidth="1"/>
    <col min="35" max="36" width="7.5546875" bestFit="1" customWidth="1"/>
    <col min="37" max="37" width="6" bestFit="1" customWidth="1"/>
    <col min="38" max="38" width="7.5546875" bestFit="1" customWidth="1"/>
    <col min="39" max="40" width="7.21875" bestFit="1" customWidth="1"/>
    <col min="41" max="41" width="5.6640625" bestFit="1" customWidth="1"/>
    <col min="42" max="42" width="7.21875" bestFit="1" customWidth="1"/>
    <col min="43" max="44" width="6.88671875" bestFit="1" customWidth="1"/>
    <col min="45" max="45" width="5.33203125" bestFit="1" customWidth="1"/>
    <col min="46" max="46" width="6.88671875" bestFit="1" customWidth="1"/>
    <col min="47" max="48" width="7.77734375" bestFit="1" customWidth="1"/>
    <col min="49" max="49" width="6.21875" bestFit="1" customWidth="1"/>
    <col min="50" max="50" width="7.777343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BEBD-35C9-456B-811A-22E4C91B70C2}">
  <dimension ref="A3:B18"/>
  <sheetViews>
    <sheetView zoomScale="82" workbookViewId="0">
      <selection activeCell="A3" sqref="A3"/>
    </sheetView>
  </sheetViews>
  <sheetFormatPr defaultRowHeight="14.4" x14ac:dyDescent="0.3"/>
  <cols>
    <col min="1" max="1" width="17.33203125" bestFit="1" customWidth="1"/>
    <col min="2" max="3" width="11.6640625" bestFit="1" customWidth="1"/>
    <col min="4" max="5" width="7.6640625" bestFit="1" customWidth="1"/>
    <col min="6" max="6" width="7.88671875" bestFit="1" customWidth="1"/>
    <col min="7" max="8" width="7" bestFit="1" customWidth="1"/>
    <col min="9" max="9" width="5.44140625" bestFit="1" customWidth="1"/>
    <col min="10" max="10" width="7" bestFit="1" customWidth="1"/>
    <col min="11" max="12" width="7.88671875" bestFit="1" customWidth="1"/>
    <col min="13" max="13" width="6.33203125" bestFit="1" customWidth="1"/>
    <col min="14" max="14" width="7.88671875" bestFit="1" customWidth="1"/>
    <col min="15" max="16" width="7.109375" bestFit="1" customWidth="1"/>
    <col min="17" max="17" width="5.5546875" bestFit="1" customWidth="1"/>
    <col min="18" max="18" width="7.109375" bestFit="1" customWidth="1"/>
    <col min="19" max="20" width="6.77734375" bestFit="1" customWidth="1"/>
    <col min="21" max="21" width="5.21875" bestFit="1" customWidth="1"/>
    <col min="22" max="22" width="6.77734375" bestFit="1" customWidth="1"/>
    <col min="23" max="24" width="7.6640625" bestFit="1" customWidth="1"/>
    <col min="25" max="25" width="6.109375" bestFit="1" customWidth="1"/>
    <col min="26" max="26" width="7.6640625" bestFit="1" customWidth="1"/>
    <col min="27" max="28" width="7" bestFit="1" customWidth="1"/>
    <col min="29" max="29" width="5.44140625" bestFit="1" customWidth="1"/>
    <col min="30" max="30" width="7" bestFit="1" customWidth="1"/>
    <col min="31" max="32" width="6.6640625" bestFit="1" customWidth="1"/>
    <col min="33" max="33" width="5.109375" bestFit="1" customWidth="1"/>
    <col min="34" max="34" width="6.6640625" bestFit="1" customWidth="1"/>
    <col min="35" max="36" width="7.5546875" bestFit="1" customWidth="1"/>
    <col min="37" max="37" width="6" bestFit="1" customWidth="1"/>
    <col min="38" max="38" width="7.5546875" bestFit="1" customWidth="1"/>
    <col min="39" max="40" width="7.21875" bestFit="1" customWidth="1"/>
    <col min="41" max="41" width="5.6640625" bestFit="1" customWidth="1"/>
    <col min="42" max="42" width="7.21875" bestFit="1" customWidth="1"/>
    <col min="43" max="44" width="6.88671875" bestFit="1" customWidth="1"/>
    <col min="45" max="45" width="5.33203125" bestFit="1" customWidth="1"/>
    <col min="46" max="46" width="6.88671875" bestFit="1" customWidth="1"/>
    <col min="47" max="48" width="7.77734375" bestFit="1" customWidth="1"/>
    <col min="49" max="49" width="6.21875" bestFit="1" customWidth="1"/>
    <col min="50" max="50" width="7.77734375" bestFit="1" customWidth="1"/>
  </cols>
  <sheetData>
    <row r="3" spans="1:2" x14ac:dyDescent="0.3">
      <c r="A3" s="6" t="s">
        <v>4</v>
      </c>
      <c r="B3" t="s">
        <v>6220</v>
      </c>
    </row>
    <row r="4" spans="1:2" x14ac:dyDescent="0.3">
      <c r="A4" t="s">
        <v>3195</v>
      </c>
      <c r="B4" s="8">
        <v>206.59999999999997</v>
      </c>
    </row>
    <row r="5" spans="1:2" x14ac:dyDescent="0.3">
      <c r="A5" t="s">
        <v>1386</v>
      </c>
      <c r="B5" s="8">
        <v>218.73</v>
      </c>
    </row>
    <row r="6" spans="1:2" x14ac:dyDescent="0.3">
      <c r="A6" t="s">
        <v>5114</v>
      </c>
      <c r="B6" s="8">
        <v>317.06999999999994</v>
      </c>
    </row>
    <row r="7" spans="1:2" x14ac:dyDescent="0.3">
      <c r="A7" t="s">
        <v>5765</v>
      </c>
      <c r="B7" s="8">
        <v>307.04499999999996</v>
      </c>
    </row>
    <row r="8" spans="1:2" x14ac:dyDescent="0.3">
      <c r="A8" t="s">
        <v>5075</v>
      </c>
      <c r="B8" s="8">
        <v>246.20999999999998</v>
      </c>
    </row>
    <row r="9" spans="1:2" x14ac:dyDescent="0.3">
      <c r="A9" t="s">
        <v>3820</v>
      </c>
      <c r="B9" s="8">
        <v>204.92999999999995</v>
      </c>
    </row>
    <row r="10" spans="1:2" x14ac:dyDescent="0.3">
      <c r="A10" t="s">
        <v>5555</v>
      </c>
      <c r="B10" s="8">
        <v>251.12499999999997</v>
      </c>
    </row>
    <row r="11" spans="1:2" x14ac:dyDescent="0.3">
      <c r="A11" t="s">
        <v>3753</v>
      </c>
      <c r="B11" s="8">
        <v>278.01</v>
      </c>
    </row>
    <row r="12" spans="1:2" x14ac:dyDescent="0.3">
      <c r="A12" t="s">
        <v>1472</v>
      </c>
      <c r="B12" s="8">
        <v>204.92999999999995</v>
      </c>
    </row>
    <row r="13" spans="1:2" x14ac:dyDescent="0.3">
      <c r="A13" t="s">
        <v>2177</v>
      </c>
      <c r="B13" s="8">
        <v>204.92999999999995</v>
      </c>
    </row>
    <row r="14" spans="1:2" x14ac:dyDescent="0.3">
      <c r="A14" t="s">
        <v>2275</v>
      </c>
      <c r="B14" s="8">
        <v>204.92999999999995</v>
      </c>
    </row>
    <row r="15" spans="1:2" x14ac:dyDescent="0.3">
      <c r="A15" t="s">
        <v>1598</v>
      </c>
      <c r="B15" s="8">
        <v>281.67499999999995</v>
      </c>
    </row>
    <row r="16" spans="1:2" x14ac:dyDescent="0.3">
      <c r="A16" t="s">
        <v>2454</v>
      </c>
      <c r="B16" s="8">
        <v>204.92999999999995</v>
      </c>
    </row>
    <row r="17" spans="1:2" x14ac:dyDescent="0.3">
      <c r="A17" t="s">
        <v>2046</v>
      </c>
      <c r="B17" s="8">
        <v>204.92999999999995</v>
      </c>
    </row>
    <row r="18" spans="1:2" x14ac:dyDescent="0.3">
      <c r="A18" t="s">
        <v>2587</v>
      </c>
      <c r="B18" s="8">
        <v>289.11</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6.5546875" customWidth="1"/>
    <col min="15" max="15" width="16.6640625" customWidth="1"/>
    <col min="16" max="16" width="13.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1" workbookViewId="0">
      <selection activeCell="B16" sqref="B1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costomers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Yashi Singh</cp:lastModifiedBy>
  <cp:revision/>
  <dcterms:created xsi:type="dcterms:W3CDTF">2022-11-26T09:51:45Z</dcterms:created>
  <dcterms:modified xsi:type="dcterms:W3CDTF">2026-04-15T20:40:55Z</dcterms:modified>
  <cp:category/>
  <cp:contentStatus/>
</cp:coreProperties>
</file>